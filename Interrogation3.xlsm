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M1 Finance\"/>
    </mc:Choice>
  </mc:AlternateContent>
  <xr:revisionPtr revIDLastSave="0" documentId="13_ncr:1_{AD0FB86E-3683-46D4-AF4F-FBD333D8DAB3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Accueil" sheetId="12" r:id="rId1"/>
    <sheet name="Exercice4" sheetId="8" r:id="rId2"/>
    <sheet name="Data" sheetId="9" r:id="rId3"/>
  </sheets>
  <externalReferences>
    <externalReference r:id="rId4"/>
  </externalReferences>
  <definedNames>
    <definedName name="_xlnm._FilterDatabase" localSheetId="2" hidden="1">Data!$B$12:$B$12</definedName>
    <definedName name="basis">#REF!</definedName>
    <definedName name="cc">#REF!</definedName>
    <definedName name="clcDate">#REF!</definedName>
    <definedName name="clean_price">#REF!</definedName>
    <definedName name="coupon_freq">#REF!</definedName>
    <definedName name="coupon_rate">#REF!</definedName>
    <definedName name="curve">#REF!</definedName>
    <definedName name="destinations">Data!$A$3:$I$11</definedName>
    <definedName name="issue_date">#REF!</definedName>
    <definedName name="kms">Data!#REF!</definedName>
    <definedName name="last_cpn">#REF!</definedName>
    <definedName name="liste_arrivees">Data!$A$3:$I$3</definedName>
    <definedName name="liste_depart">Data!$A$3:$A$11</definedName>
    <definedName name="maturity">#REF!</definedName>
    <definedName name="nominal">#REF!</definedName>
    <definedName name="pdf">#REF!</definedName>
    <definedName name="price_dirty">#REF!</definedName>
    <definedName name="_xlnm.Print_Area" localSheetId="2">Data!$A$1:$J$14</definedName>
    <definedName name="pu">Data!#REF!</definedName>
    <definedName name="table_input">#REF!</definedName>
    <definedName name="villes" localSheetId="2">[1]Billet!$A$21:$A$28</definedName>
    <definedName name="villes">Exercice4!$A$21:$A$28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9" l="1"/>
  <c r="I23" i="9" l="1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B17" i="8"/>
</calcChain>
</file>

<file path=xl/sharedStrings.xml><?xml version="1.0" encoding="utf-8"?>
<sst xmlns="http://schemas.openxmlformats.org/spreadsheetml/2006/main" count="66" uniqueCount="31">
  <si>
    <t>SNCF</t>
  </si>
  <si>
    <t>DEPART</t>
  </si>
  <si>
    <t>LYON</t>
  </si>
  <si>
    <t>PRIX</t>
  </si>
  <si>
    <t>ARRIVEE</t>
  </si>
  <si>
    <t>PARIS</t>
  </si>
  <si>
    <t>Distance</t>
  </si>
  <si>
    <t>CLASSE</t>
  </si>
  <si>
    <t>TOTAL DU VOYAGE</t>
  </si>
  <si>
    <t>REDUCTION :</t>
  </si>
  <si>
    <t>Date d'émission :</t>
  </si>
  <si>
    <t>MARSEILLE</t>
  </si>
  <si>
    <t>AVEC</t>
  </si>
  <si>
    <t>NICE</t>
  </si>
  <si>
    <t>SANS</t>
  </si>
  <si>
    <t>TOULOUSE</t>
  </si>
  <si>
    <t>TOULON</t>
  </si>
  <si>
    <t>LILLE</t>
  </si>
  <si>
    <t>BORDEAUX</t>
  </si>
  <si>
    <t>DESTINATIONS ET DISTANCES KILOMETRIQUES</t>
  </si>
  <si>
    <t>COUT DU PRIX PAR KM</t>
  </si>
  <si>
    <t>Reduction</t>
  </si>
  <si>
    <t>Periode</t>
  </si>
  <si>
    <t>Debut</t>
  </si>
  <si>
    <t>Fin</t>
  </si>
  <si>
    <t>TVA</t>
  </si>
  <si>
    <t>TVA applicable</t>
  </si>
  <si>
    <t>Date du voyage</t>
  </si>
  <si>
    <t>Nom</t>
  </si>
  <si>
    <t>Prenom</t>
  </si>
  <si>
    <t>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</si>
</sst>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#,##0.00&quot; €&quot;;[Red]\-#,##0.00&quot; €&quot;"/>
    <numFmt numFmtId="168" formatCode="0&quot; Km&quot;"/>
    <numFmt numFmtId="169" formatCode="d\ mmmm\ yyyy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Helv"/>
    </font>
    <font>
      <sz val="10"/>
      <color indexed="18"/>
      <name val="Arial"/>
      <family val="2"/>
    </font>
    <font>
      <b/>
      <i/>
      <sz val="18"/>
      <color indexed="18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4"/>
      <color indexed="18"/>
      <name val="Arial"/>
      <family val="2"/>
    </font>
    <font>
      <b/>
      <sz val="20"/>
      <color indexed="18"/>
      <name val="Tahoma"/>
      <family val="2"/>
    </font>
    <font>
      <b/>
      <i/>
      <sz val="10"/>
      <color indexed="18"/>
      <name val="Arial"/>
      <family val="2"/>
    </font>
    <font>
      <sz val="10"/>
      <name val="MS Sans Serif"/>
    </font>
    <font>
      <b/>
      <sz val="16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double">
        <color indexed="10"/>
      </left>
      <right/>
      <top style="double">
        <color indexed="10"/>
      </top>
      <bottom style="double">
        <color indexed="10"/>
      </bottom>
      <diagonal/>
    </border>
    <border>
      <left/>
      <right/>
      <top style="double">
        <color indexed="10"/>
      </top>
      <bottom style="double">
        <color indexed="10"/>
      </bottom>
      <diagonal/>
    </border>
    <border>
      <left/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0" fillId="0" borderId="0"/>
  </cellStyleXfs>
  <cellXfs count="67">
    <xf numFmtId="0" fontId="0" fillId="0" borderId="0" xfId="0"/>
    <xf numFmtId="0" fontId="3" fillId="2" borderId="0" xfId="1" applyFont="1" applyFill="1"/>
    <xf numFmtId="0" fontId="4" fillId="2" borderId="5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5" fillId="3" borderId="0" xfId="1" applyFont="1" applyFill="1" applyAlignment="1">
      <alignment horizontal="center"/>
    </xf>
    <xf numFmtId="0" fontId="3" fillId="3" borderId="0" xfId="1" applyFont="1" applyFill="1"/>
    <xf numFmtId="0" fontId="5" fillId="3" borderId="9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5" fillId="3" borderId="10" xfId="1" applyFont="1" applyFill="1" applyBorder="1" applyAlignment="1">
      <alignment horizontal="center"/>
    </xf>
    <xf numFmtId="0" fontId="6" fillId="2" borderId="8" xfId="1" applyFont="1" applyFill="1" applyBorder="1"/>
    <xf numFmtId="0" fontId="6" fillId="2" borderId="0" xfId="1" applyFont="1" applyFill="1" applyAlignment="1">
      <alignment horizontal="left"/>
    </xf>
    <xf numFmtId="0" fontId="3" fillId="2" borderId="11" xfId="1" applyFont="1" applyFill="1" applyBorder="1"/>
    <xf numFmtId="0" fontId="3" fillId="3" borderId="10" xfId="1" applyFont="1" applyFill="1" applyBorder="1"/>
    <xf numFmtId="0" fontId="6" fillId="3" borderId="10" xfId="1" applyFont="1" applyFill="1" applyBorder="1"/>
    <xf numFmtId="0" fontId="3" fillId="2" borderId="0" xfId="1" applyFont="1" applyFill="1" applyAlignment="1">
      <alignment horizontal="left"/>
    </xf>
    <xf numFmtId="0" fontId="6" fillId="2" borderId="0" xfId="1" applyFont="1" applyFill="1" applyAlignment="1">
      <alignment horizontal="center"/>
    </xf>
    <xf numFmtId="0" fontId="3" fillId="2" borderId="8" xfId="1" applyFont="1" applyFill="1" applyBorder="1"/>
    <xf numFmtId="0" fontId="7" fillId="2" borderId="0" xfId="1" applyFont="1" applyFill="1" applyAlignment="1">
      <alignment horizontal="left"/>
    </xf>
    <xf numFmtId="0" fontId="7" fillId="2" borderId="0" xfId="1" applyFont="1" applyFill="1"/>
    <xf numFmtId="0" fontId="3" fillId="2" borderId="11" xfId="1" applyFont="1" applyFill="1" applyBorder="1" applyAlignment="1">
      <alignment horizontal="left"/>
    </xf>
    <xf numFmtId="0" fontId="7" fillId="2" borderId="8" xfId="1" applyFont="1" applyFill="1" applyBorder="1" applyAlignment="1">
      <alignment horizontal="left"/>
    </xf>
    <xf numFmtId="0" fontId="8" fillId="2" borderId="0" xfId="1" applyFont="1" applyFill="1"/>
    <xf numFmtId="0" fontId="8" fillId="2" borderId="13" xfId="1" applyFont="1" applyFill="1" applyBorder="1" applyAlignment="1">
      <alignment horizontal="center"/>
    </xf>
    <xf numFmtId="0" fontId="6" fillId="2" borderId="0" xfId="1" applyFont="1" applyFill="1"/>
    <xf numFmtId="0" fontId="6" fillId="2" borderId="8" xfId="1" applyFont="1" applyFill="1" applyBorder="1" applyAlignment="1">
      <alignment horizontal="right" vertical="top" wrapText="1"/>
    </xf>
    <xf numFmtId="0" fontId="3" fillId="3" borderId="0" xfId="1" applyFont="1" applyFill="1" applyAlignment="1">
      <alignment horizontal="left"/>
    </xf>
    <xf numFmtId="0" fontId="6" fillId="2" borderId="8" xfId="1" applyFont="1" applyFill="1" applyBorder="1" applyAlignment="1">
      <alignment horizontal="right"/>
    </xf>
    <xf numFmtId="0" fontId="3" fillId="2" borderId="1" xfId="1" applyFont="1" applyFill="1" applyBorder="1"/>
    <xf numFmtId="0" fontId="6" fillId="3" borderId="17" xfId="1" applyFont="1" applyFill="1" applyBorder="1"/>
    <xf numFmtId="9" fontId="6" fillId="2" borderId="0" xfId="1" applyNumberFormat="1" applyFont="1" applyFill="1"/>
    <xf numFmtId="0" fontId="9" fillId="2" borderId="18" xfId="1" applyFont="1" applyFill="1" applyBorder="1"/>
    <xf numFmtId="169" fontId="3" fillId="2" borderId="19" xfId="1" applyNumberFormat="1" applyFont="1" applyFill="1" applyBorder="1"/>
    <xf numFmtId="0" fontId="3" fillId="2" borderId="19" xfId="1" applyFont="1" applyFill="1" applyBorder="1"/>
    <xf numFmtId="0" fontId="3" fillId="3" borderId="19" xfId="1" applyFont="1" applyFill="1" applyBorder="1"/>
    <xf numFmtId="0" fontId="3" fillId="3" borderId="20" xfId="1" applyFont="1" applyFill="1" applyBorder="1"/>
    <xf numFmtId="0" fontId="12" fillId="0" borderId="0" xfId="3" applyFont="1"/>
    <xf numFmtId="0" fontId="13" fillId="0" borderId="1" xfId="3" applyFont="1" applyBorder="1" applyAlignment="1">
      <alignment horizontal="left"/>
    </xf>
    <xf numFmtId="0" fontId="14" fillId="0" borderId="1" xfId="3" applyFont="1" applyBorder="1" applyAlignment="1">
      <alignment horizontal="center"/>
    </xf>
    <xf numFmtId="0" fontId="14" fillId="0" borderId="1" xfId="3" applyFont="1" applyBorder="1" applyAlignment="1">
      <alignment horizontal="left"/>
    </xf>
    <xf numFmtId="0" fontId="12" fillId="0" borderId="1" xfId="3" applyFont="1" applyBorder="1" applyAlignment="1">
      <alignment horizontal="center"/>
    </xf>
    <xf numFmtId="0" fontId="12" fillId="0" borderId="0" xfId="1" applyFont="1"/>
    <xf numFmtId="2" fontId="12" fillId="0" borderId="1" xfId="3" applyNumberFormat="1" applyFont="1" applyBorder="1" applyAlignment="1">
      <alignment horizontal="center"/>
    </xf>
    <xf numFmtId="16" fontId="12" fillId="0" borderId="0" xfId="3" applyNumberFormat="1" applyFont="1"/>
    <xf numFmtId="0" fontId="12" fillId="4" borderId="0" xfId="3" applyFont="1" applyFill="1"/>
    <xf numFmtId="9" fontId="12" fillId="0" borderId="0" xfId="3" applyNumberFormat="1" applyFont="1"/>
    <xf numFmtId="167" fontId="3" fillId="4" borderId="1" xfId="1" applyNumberFormat="1" applyFont="1" applyFill="1" applyBorder="1"/>
    <xf numFmtId="9" fontId="3" fillId="4" borderId="1" xfId="2" applyFont="1" applyFill="1" applyBorder="1" applyAlignment="1">
      <alignment horizontal="left"/>
    </xf>
    <xf numFmtId="14" fontId="6" fillId="2" borderId="0" xfId="1" applyNumberFormat="1" applyFont="1" applyFill="1" applyBorder="1"/>
    <xf numFmtId="0" fontId="6" fillId="2" borderId="0" xfId="1" applyFont="1" applyFill="1" applyBorder="1" applyAlignment="1">
      <alignment horizontal="center"/>
    </xf>
    <xf numFmtId="0" fontId="0" fillId="5" borderId="0" xfId="0" applyFill="1"/>
    <xf numFmtId="0" fontId="0" fillId="0" borderId="1" xfId="0" applyBorder="1"/>
    <xf numFmtId="0" fontId="5" fillId="2" borderId="6" xfId="1" applyFont="1" applyFill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left" vertical="center"/>
    </xf>
    <xf numFmtId="168" fontId="6" fillId="4" borderId="12" xfId="1" applyNumberFormat="1" applyFont="1" applyFill="1" applyBorder="1" applyAlignment="1">
      <alignment horizontal="left" vertical="center" wrapText="1"/>
    </xf>
    <xf numFmtId="168" fontId="6" fillId="4" borderId="0" xfId="1" applyNumberFormat="1" applyFont="1" applyFill="1" applyAlignment="1">
      <alignment horizontal="left" vertical="center" wrapText="1"/>
    </xf>
    <xf numFmtId="0" fontId="6" fillId="2" borderId="0" xfId="1" applyFont="1" applyFill="1" applyAlignment="1">
      <alignment horizontal="center"/>
    </xf>
    <xf numFmtId="0" fontId="6" fillId="2" borderId="11" xfId="1" applyFont="1" applyFill="1" applyBorder="1" applyAlignment="1">
      <alignment horizontal="right"/>
    </xf>
    <xf numFmtId="0" fontId="6" fillId="2" borderId="0" xfId="1" applyFont="1" applyFill="1" applyAlignment="1">
      <alignment horizontal="right"/>
    </xf>
    <xf numFmtId="167" fontId="5" fillId="4" borderId="14" xfId="1" applyNumberFormat="1" applyFont="1" applyFill="1" applyBorder="1" applyAlignment="1">
      <alignment horizontal="center"/>
    </xf>
    <xf numFmtId="167" fontId="5" fillId="4" borderId="15" xfId="1" applyNumberFormat="1" applyFont="1" applyFill="1" applyBorder="1" applyAlignment="1">
      <alignment horizontal="center"/>
    </xf>
    <xf numFmtId="167" fontId="5" fillId="4" borderId="16" xfId="1" applyNumberFormat="1" applyFont="1" applyFill="1" applyBorder="1" applyAlignment="1">
      <alignment horizontal="center"/>
    </xf>
    <xf numFmtId="0" fontId="11" fillId="0" borderId="0" xfId="3" applyFont="1" applyAlignment="1">
      <alignment horizontal="center"/>
    </xf>
  </cellXfs>
  <cellStyles count="4">
    <cellStyle name="Normal" xfId="0" builtinId="0"/>
    <cellStyle name="Normal 2" xfId="1" xr:uid="{00D56596-21E9-4137-B8A3-DC4F73EF027C}"/>
    <cellStyle name="Normal_TABSNCF" xfId="3" xr:uid="{950C2903-320A-4BFC-950F-DA43429E3180}"/>
    <cellStyle name="Percent 2" xfId="2" xr:uid="{83AB71F3-6461-4B5D-AA43-3E6050386C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695/Documents/Pantheon/Devoir/tp_billet_mard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Billet"/>
    </sheetNames>
    <sheetDataSet>
      <sheetData sheetId="0"/>
      <sheetData sheetId="1">
        <row r="21">
          <cell r="A21" t="str">
            <v>MARSEILLE</v>
          </cell>
        </row>
        <row r="22">
          <cell r="A22" t="str">
            <v>NICE</v>
          </cell>
        </row>
        <row r="23">
          <cell r="A23" t="str">
            <v>TOULOUSE</v>
          </cell>
        </row>
        <row r="24">
          <cell r="A24" t="str">
            <v>TOULON</v>
          </cell>
        </row>
        <row r="25">
          <cell r="A25" t="str">
            <v>LILLE</v>
          </cell>
        </row>
        <row r="26">
          <cell r="A26" t="str">
            <v>LYON</v>
          </cell>
        </row>
        <row r="27">
          <cell r="A27" t="str">
            <v>BORDEAUX</v>
          </cell>
        </row>
        <row r="28">
          <cell r="A28" t="str">
            <v>PARIS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A50D-D38F-4FDA-A63F-5FAB79E110E6}">
  <sheetPr codeName="Sheet4"/>
  <dimension ref="I7:K10"/>
  <sheetViews>
    <sheetView workbookViewId="0"/>
  </sheetViews>
  <sheetFormatPr defaultRowHeight="15" x14ac:dyDescent="0.25"/>
  <cols>
    <col min="9" max="11" width="13.42578125" customWidth="1"/>
  </cols>
  <sheetData>
    <row r="7" spans="9:11" x14ac:dyDescent="0.25">
      <c r="I7" s="50" t="s">
        <v>28</v>
      </c>
      <c r="J7" s="50" t="s">
        <v>29</v>
      </c>
      <c r="K7" s="50" t="s">
        <v>30</v>
      </c>
    </row>
    <row r="8" spans="9:11" x14ac:dyDescent="0.25">
      <c r="I8" s="51"/>
      <c r="J8" s="51"/>
      <c r="K8" s="51"/>
    </row>
    <row r="9" spans="9:11" x14ac:dyDescent="0.25">
      <c r="I9" s="51"/>
      <c r="J9" s="51"/>
      <c r="K9" s="51"/>
    </row>
    <row r="10" spans="9:11" x14ac:dyDescent="0.25">
      <c r="I10" s="51"/>
      <c r="J10" s="51"/>
      <c r="K10" s="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8A34-66C1-4F8C-B686-AC175FB00EF4}">
  <sheetPr codeName="Feuil1"/>
  <dimension ref="A1:K28"/>
  <sheetViews>
    <sheetView showGridLines="0" zoomScale="99" workbookViewId="0">
      <selection activeCell="B14" sqref="B14"/>
    </sheetView>
  </sheetViews>
  <sheetFormatPr defaultColWidth="0" defaultRowHeight="12.6" customHeight="1" zeroHeight="1" x14ac:dyDescent="0.2"/>
  <cols>
    <col min="1" max="1" width="16.140625" style="1" customWidth="1"/>
    <col min="2" max="2" width="17.42578125" style="1" customWidth="1"/>
    <col min="3" max="3" width="4.5703125" style="1" customWidth="1"/>
    <col min="4" max="4" width="15" style="1" customWidth="1"/>
    <col min="5" max="5" width="7" style="1" customWidth="1"/>
    <col min="6" max="6" width="1.42578125" style="1" customWidth="1"/>
    <col min="7" max="7" width="1.140625" style="1" customWidth="1"/>
    <col min="8" max="8" width="15.140625" style="1" customWidth="1"/>
    <col min="9" max="9" width="13.5703125" style="1" customWidth="1"/>
    <col min="10" max="10" width="2.5703125" style="1" customWidth="1"/>
    <col min="11" max="11" width="1.140625" style="1" customWidth="1"/>
    <col min="12" max="12" width="1.85546875" style="1" customWidth="1"/>
    <col min="13" max="16384" width="0" style="1" hidden="1"/>
  </cols>
  <sheetData>
    <row r="1" spans="1:11" ht="13.5" thickBot="1" x14ac:dyDescent="0.25"/>
    <row r="2" spans="1:11" ht="23.25" x14ac:dyDescent="0.35">
      <c r="A2" s="2" t="s">
        <v>0</v>
      </c>
      <c r="B2" s="52"/>
      <c r="C2" s="52"/>
      <c r="D2" s="52"/>
      <c r="E2" s="52"/>
      <c r="F2" s="52"/>
      <c r="G2" s="52"/>
      <c r="H2" s="52"/>
      <c r="I2" s="52"/>
      <c r="J2" s="52"/>
      <c r="K2" s="53"/>
    </row>
    <row r="3" spans="1:11" ht="5.25" customHeight="1" x14ac:dyDescent="0.35">
      <c r="A3" s="3"/>
      <c r="B3" s="4"/>
      <c r="C3" s="4"/>
      <c r="D3" s="4"/>
      <c r="E3" s="5"/>
      <c r="F3" s="5"/>
      <c r="G3" s="5"/>
      <c r="H3" s="5"/>
      <c r="I3" s="4"/>
      <c r="J3" s="4"/>
      <c r="K3" s="6"/>
    </row>
    <row r="4" spans="1:11" ht="8.25" customHeight="1" x14ac:dyDescent="0.35">
      <c r="A4" s="7"/>
      <c r="B4" s="8"/>
      <c r="C4" s="8"/>
      <c r="D4" s="8"/>
      <c r="G4" s="5"/>
      <c r="I4" s="8"/>
      <c r="J4" s="8"/>
      <c r="K4" s="9"/>
    </row>
    <row r="5" spans="1:11" ht="15.75" x14ac:dyDescent="0.25">
      <c r="A5" s="10" t="s">
        <v>1</v>
      </c>
      <c r="B5" s="54" t="s">
        <v>2</v>
      </c>
      <c r="C5" s="55"/>
      <c r="D5" s="56"/>
      <c r="G5" s="5"/>
      <c r="H5" s="11" t="s">
        <v>3</v>
      </c>
      <c r="I5" s="46"/>
      <c r="J5" s="12"/>
      <c r="K5" s="13"/>
    </row>
    <row r="6" spans="1:11" ht="15.75" x14ac:dyDescent="0.25">
      <c r="A6" s="10" t="s">
        <v>4</v>
      </c>
      <c r="B6" s="54" t="s">
        <v>5</v>
      </c>
      <c r="C6" s="55"/>
      <c r="D6" s="56"/>
      <c r="G6" s="5"/>
      <c r="H6" s="11" t="s">
        <v>21</v>
      </c>
      <c r="I6" s="46"/>
      <c r="J6" s="12"/>
      <c r="K6" s="14"/>
    </row>
    <row r="7" spans="1:11" ht="12.75" x14ac:dyDescent="0.2">
      <c r="A7" s="57" t="s">
        <v>6</v>
      </c>
      <c r="B7" s="58"/>
      <c r="C7" s="58"/>
      <c r="D7" s="58"/>
      <c r="G7" s="5"/>
      <c r="H7" s="15"/>
      <c r="I7" s="15"/>
      <c r="J7" s="15"/>
      <c r="K7" s="14"/>
    </row>
    <row r="8" spans="1:11" ht="12.75" x14ac:dyDescent="0.2">
      <c r="A8" s="57"/>
      <c r="B8" s="59"/>
      <c r="C8" s="59"/>
      <c r="D8" s="59"/>
      <c r="G8" s="5"/>
      <c r="H8" s="16"/>
      <c r="I8" s="15"/>
      <c r="J8" s="15"/>
      <c r="K8" s="14"/>
    </row>
    <row r="9" spans="1:11" ht="18.75" thickBot="1" x14ac:dyDescent="0.3">
      <c r="A9" s="17"/>
      <c r="C9" s="18"/>
      <c r="D9" s="19" t="s">
        <v>7</v>
      </c>
      <c r="G9" s="5"/>
      <c r="H9" s="16" t="s">
        <v>25</v>
      </c>
      <c r="I9" s="46"/>
      <c r="J9" s="20"/>
      <c r="K9" s="14"/>
    </row>
    <row r="10" spans="1:11" ht="26.25" thickBot="1" x14ac:dyDescent="0.4">
      <c r="A10" s="21"/>
      <c r="B10" s="22"/>
      <c r="C10" s="18"/>
      <c r="D10" s="23">
        <v>2</v>
      </c>
      <c r="G10" s="5"/>
      <c r="H10" s="11"/>
      <c r="I10" s="15"/>
      <c r="J10" s="15"/>
      <c r="K10" s="14"/>
    </row>
    <row r="11" spans="1:11" ht="18" x14ac:dyDescent="0.25">
      <c r="A11" s="17"/>
      <c r="B11" s="24"/>
      <c r="C11" s="18"/>
      <c r="G11" s="5"/>
      <c r="H11" s="15"/>
      <c r="I11" s="15"/>
      <c r="J11" s="15"/>
      <c r="K11" s="14"/>
    </row>
    <row r="12" spans="1:11" ht="12.75" x14ac:dyDescent="0.2">
      <c r="A12" s="25"/>
      <c r="B12" s="48"/>
      <c r="C12" s="49"/>
      <c r="D12" s="48"/>
      <c r="G12" s="5"/>
      <c r="I12" s="15"/>
      <c r="J12" s="15"/>
      <c r="K12" s="14"/>
    </row>
    <row r="13" spans="1:11" ht="12.75" x14ac:dyDescent="0.2">
      <c r="A13" s="17"/>
      <c r="E13" s="15"/>
      <c r="F13" s="15"/>
      <c r="G13" s="26"/>
      <c r="H13" s="60" t="s">
        <v>8</v>
      </c>
      <c r="I13" s="60"/>
      <c r="J13" s="16"/>
      <c r="K13" s="14"/>
    </row>
    <row r="14" spans="1:11" ht="13.5" thickBot="1" x14ac:dyDescent="0.25">
      <c r="A14" s="27" t="s">
        <v>27</v>
      </c>
      <c r="B14" s="28"/>
      <c r="C14" s="61" t="s">
        <v>9</v>
      </c>
      <c r="D14" s="62"/>
      <c r="E14" s="47"/>
      <c r="F14" s="15"/>
      <c r="G14" s="26"/>
      <c r="H14" s="15"/>
      <c r="I14" s="15"/>
      <c r="J14" s="15"/>
      <c r="K14" s="14"/>
    </row>
    <row r="15" spans="1:11" ht="17.25" thickTop="1" thickBot="1" x14ac:dyDescent="0.3">
      <c r="A15" s="17"/>
      <c r="B15" s="24"/>
      <c r="D15" s="24"/>
      <c r="E15" s="15"/>
      <c r="F15" s="15"/>
      <c r="G15" s="26"/>
      <c r="H15" s="63"/>
      <c r="I15" s="64"/>
      <c r="J15" s="65"/>
      <c r="K15" s="29"/>
    </row>
    <row r="16" spans="1:11" ht="13.5" thickTop="1" x14ac:dyDescent="0.2">
      <c r="A16" s="17"/>
      <c r="D16" s="30"/>
      <c r="G16" s="5"/>
      <c r="H16" s="11"/>
      <c r="I16" s="11"/>
      <c r="J16" s="11"/>
      <c r="K16" s="14"/>
    </row>
    <row r="17" spans="1:11" ht="13.5" thickBot="1" x14ac:dyDescent="0.25">
      <c r="A17" s="31" t="s">
        <v>10</v>
      </c>
      <c r="B17" s="32">
        <f ca="1">TODAY()</f>
        <v>44901</v>
      </c>
      <c r="C17" s="33"/>
      <c r="D17" s="33"/>
      <c r="E17" s="33"/>
      <c r="F17" s="33"/>
      <c r="G17" s="34"/>
      <c r="H17" s="33"/>
      <c r="I17" s="33"/>
      <c r="J17" s="33"/>
      <c r="K17" s="35"/>
    </row>
    <row r="18" spans="1:11" ht="12.75" x14ac:dyDescent="0.2"/>
    <row r="19" spans="1:11" ht="12.75" x14ac:dyDescent="0.2"/>
    <row r="21" spans="1:11" ht="12.75" hidden="1" x14ac:dyDescent="0.2">
      <c r="A21" s="1" t="s">
        <v>11</v>
      </c>
      <c r="B21" s="1" t="s">
        <v>12</v>
      </c>
    </row>
    <row r="22" spans="1:11" ht="12.75" hidden="1" x14ac:dyDescent="0.2">
      <c r="A22" s="1" t="s">
        <v>13</v>
      </c>
      <c r="B22" s="1" t="s">
        <v>14</v>
      </c>
    </row>
    <row r="23" spans="1:11" ht="12.75" hidden="1" x14ac:dyDescent="0.2">
      <c r="A23" s="1" t="s">
        <v>15</v>
      </c>
    </row>
    <row r="24" spans="1:11" ht="12.75" hidden="1" x14ac:dyDescent="0.2">
      <c r="A24" s="1" t="s">
        <v>16</v>
      </c>
    </row>
    <row r="25" spans="1:11" ht="12.75" hidden="1" x14ac:dyDescent="0.2">
      <c r="A25" s="1" t="s">
        <v>17</v>
      </c>
    </row>
    <row r="26" spans="1:11" ht="12.75" hidden="1" x14ac:dyDescent="0.2">
      <c r="A26" s="1" t="s">
        <v>2</v>
      </c>
    </row>
    <row r="27" spans="1:11" ht="12.75" hidden="1" x14ac:dyDescent="0.2">
      <c r="A27" s="1" t="s">
        <v>18</v>
      </c>
    </row>
    <row r="28" spans="1:11" ht="12.75" hidden="1" x14ac:dyDescent="0.2">
      <c r="A28" s="1" t="s">
        <v>5</v>
      </c>
    </row>
  </sheetData>
  <dataConsolidate/>
  <mergeCells count="8">
    <mergeCell ref="H13:I13"/>
    <mergeCell ref="C14:D14"/>
    <mergeCell ref="H15:J15"/>
    <mergeCell ref="B2:K2"/>
    <mergeCell ref="B5:D5"/>
    <mergeCell ref="B6:D6"/>
    <mergeCell ref="A7:A8"/>
    <mergeCell ref="B7:D8"/>
  </mergeCells>
  <dataValidations count="4">
    <dataValidation type="list" allowBlank="1" showInputMessage="1" showErrorMessage="1" sqref="H8" xr:uid="{9975ED36-3F74-4201-AB60-8E0BFE8BE160}">
      <formula1>$B$21:$B$22</formula1>
    </dataValidation>
    <dataValidation type="whole" allowBlank="1" showInputMessage="1" showErrorMessage="1" sqref="D10" xr:uid="{9638E298-BFE1-4D01-9C17-B6C4F377CD1D}">
      <formula1>1</formula1>
      <formula2>2</formula2>
    </dataValidation>
    <dataValidation type="list" allowBlank="1" showInputMessage="1" showErrorMessage="1" sqref="B5:D6" xr:uid="{D0BD51D4-2246-49A4-885A-26EF7DD1D8B4}">
      <formula1>villes</formula1>
    </dataValidation>
    <dataValidation type="date" operator="lessThan" allowBlank="1" showInputMessage="1" showErrorMessage="1" sqref="B14" xr:uid="{DBA6F22E-CC4A-4AEF-9DF8-42E66CE64B70}">
      <formula1>1900</formula1>
    </dataValidation>
  </dataValidations>
  <printOptions horizontalCentered="1" verticalCentered="1" gridLinesSet="0"/>
  <pageMargins left="0.78740157480314965" right="0.78740157480314965" top="0.98425196850393704" bottom="0.98425196850393704" header="0.4921259845" footer="0.4921259845"/>
  <pageSetup paperSize="9" orientation="landscape" horizontalDpi="300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426D-16D0-443B-B92E-1B9E6F9ACEF6}">
  <sheetPr codeName="Feuil2">
    <pageSetUpPr fitToPage="1"/>
  </sheetPr>
  <dimension ref="A1:N23"/>
  <sheetViews>
    <sheetView showGridLines="0" tabSelected="1" topLeftCell="A2" workbookViewId="0">
      <selection activeCell="C7" sqref="C7"/>
    </sheetView>
  </sheetViews>
  <sheetFormatPr defaultColWidth="11.42578125" defaultRowHeight="12.75" x14ac:dyDescent="0.2"/>
  <cols>
    <col min="1" max="1" width="12.5703125" style="36" customWidth="1"/>
    <col min="2" max="2" width="13" style="36" customWidth="1"/>
    <col min="3" max="3" width="13.42578125" style="36" customWidth="1"/>
    <col min="4" max="4" width="12.42578125" style="36" bestFit="1" customWidth="1"/>
    <col min="5" max="5" width="12.5703125" style="36" bestFit="1" customWidth="1"/>
    <col min="6" max="6" width="17.140625" style="36" customWidth="1"/>
    <col min="7" max="7" width="13.85546875" style="36" customWidth="1"/>
    <col min="8" max="8" width="14.140625" style="36" customWidth="1"/>
    <col min="9" max="16" width="13.42578125" style="36" customWidth="1"/>
    <col min="17" max="16384" width="11.42578125" style="36"/>
  </cols>
  <sheetData>
    <row r="1" spans="1:14" ht="20.25" x14ac:dyDescent="0.3">
      <c r="A1" s="66" t="s">
        <v>19</v>
      </c>
      <c r="B1" s="66"/>
      <c r="C1" s="66"/>
      <c r="D1" s="66"/>
      <c r="E1" s="66"/>
      <c r="F1" s="66"/>
      <c r="G1" s="66"/>
      <c r="H1" s="66"/>
      <c r="I1" s="66"/>
    </row>
    <row r="3" spans="1:14" ht="15.75" x14ac:dyDescent="0.25">
      <c r="A3" s="37"/>
      <c r="B3" s="38" t="s">
        <v>18</v>
      </c>
      <c r="C3" s="38" t="s">
        <v>17</v>
      </c>
      <c r="D3" s="38" t="s">
        <v>2</v>
      </c>
      <c r="E3" s="38" t="s">
        <v>11</v>
      </c>
      <c r="F3" s="38" t="s">
        <v>13</v>
      </c>
      <c r="G3" s="38" t="s">
        <v>5</v>
      </c>
      <c r="H3" s="38" t="s">
        <v>16</v>
      </c>
      <c r="I3" s="38" t="s">
        <v>15</v>
      </c>
      <c r="K3" s="44" t="s">
        <v>22</v>
      </c>
      <c r="L3" s="44"/>
    </row>
    <row r="4" spans="1:14" x14ac:dyDescent="0.2">
      <c r="A4" s="39" t="s">
        <v>18</v>
      </c>
      <c r="B4" s="40">
        <v>0</v>
      </c>
      <c r="C4" s="40">
        <v>805</v>
      </c>
      <c r="D4" s="40">
        <v>565</v>
      </c>
      <c r="E4" s="40">
        <v>650</v>
      </c>
      <c r="F4" s="40">
        <v>807</v>
      </c>
      <c r="G4" s="40">
        <v>585</v>
      </c>
      <c r="H4" s="40">
        <v>710</v>
      </c>
      <c r="I4" s="40">
        <v>250</v>
      </c>
      <c r="K4" s="36" t="s">
        <v>23</v>
      </c>
      <c r="L4" s="36" t="s">
        <v>24</v>
      </c>
      <c r="M4" s="36" t="s">
        <v>21</v>
      </c>
      <c r="N4" s="36" t="s">
        <v>26</v>
      </c>
    </row>
    <row r="5" spans="1:14" x14ac:dyDescent="0.2">
      <c r="A5" s="39" t="s">
        <v>17</v>
      </c>
      <c r="B5" s="40">
        <v>805</v>
      </c>
      <c r="C5" s="40">
        <v>0</v>
      </c>
      <c r="D5" s="40">
        <v>695</v>
      </c>
      <c r="E5" s="40">
        <v>1020</v>
      </c>
      <c r="F5" s="40">
        <v>1180</v>
      </c>
      <c r="G5" s="40">
        <v>220</v>
      </c>
      <c r="H5" s="40">
        <v>1080</v>
      </c>
      <c r="I5" s="40">
        <v>910</v>
      </c>
      <c r="K5" s="43">
        <v>44197</v>
      </c>
      <c r="L5" s="43">
        <v>44285</v>
      </c>
      <c r="M5" s="45">
        <v>0.1</v>
      </c>
      <c r="N5" s="45">
        <v>0.19</v>
      </c>
    </row>
    <row r="6" spans="1:14" x14ac:dyDescent="0.2">
      <c r="A6" s="39" t="s">
        <v>2</v>
      </c>
      <c r="B6" s="40">
        <v>565</v>
      </c>
      <c r="C6" s="40">
        <v>695</v>
      </c>
      <c r="D6" s="40">
        <v>0</v>
      </c>
      <c r="E6" s="40">
        <v>315</v>
      </c>
      <c r="F6" s="40">
        <v>470</v>
      </c>
      <c r="G6" s="40">
        <v>460</v>
      </c>
      <c r="H6" s="40">
        <v>380</v>
      </c>
      <c r="I6" s="40">
        <v>540</v>
      </c>
      <c r="K6" s="43">
        <v>44197</v>
      </c>
      <c r="L6" s="43">
        <v>44348</v>
      </c>
      <c r="M6" s="45">
        <v>0.05</v>
      </c>
      <c r="N6" s="45">
        <v>0.13</v>
      </c>
    </row>
    <row r="7" spans="1:14" x14ac:dyDescent="0.2">
      <c r="A7" s="39" t="s">
        <v>11</v>
      </c>
      <c r="B7" s="40">
        <v>650</v>
      </c>
      <c r="C7" s="40">
        <v>1020</v>
      </c>
      <c r="D7" s="40">
        <v>315</v>
      </c>
      <c r="E7" s="40">
        <v>0</v>
      </c>
      <c r="F7" s="40">
        <v>207</v>
      </c>
      <c r="G7" s="40">
        <v>795</v>
      </c>
      <c r="H7" s="40">
        <v>64</v>
      </c>
      <c r="I7" s="40">
        <v>408</v>
      </c>
      <c r="K7" s="43">
        <v>44470</v>
      </c>
      <c r="L7" s="43">
        <v>44531</v>
      </c>
      <c r="M7" s="45">
        <v>0.15</v>
      </c>
      <c r="N7" s="45">
        <v>0.21</v>
      </c>
    </row>
    <row r="8" spans="1:14" x14ac:dyDescent="0.2">
      <c r="A8" s="39" t="s">
        <v>13</v>
      </c>
      <c r="B8" s="40">
        <v>807</v>
      </c>
      <c r="C8" s="40">
        <v>1180</v>
      </c>
      <c r="D8" s="40">
        <v>470</v>
      </c>
      <c r="E8" s="40">
        <v>207</v>
      </c>
      <c r="F8" s="40">
        <v>0</v>
      </c>
      <c r="G8" s="40">
        <v>950</v>
      </c>
      <c r="H8" s="40">
        <v>150</v>
      </c>
      <c r="I8" s="40">
        <v>565</v>
      </c>
    </row>
    <row r="9" spans="1:14" x14ac:dyDescent="0.2">
      <c r="A9" s="39" t="s">
        <v>5</v>
      </c>
      <c r="B9" s="40">
        <v>585</v>
      </c>
      <c r="C9" s="40">
        <v>220</v>
      </c>
      <c r="D9" s="40">
        <v>460</v>
      </c>
      <c r="E9" s="40">
        <v>795</v>
      </c>
      <c r="F9" s="40">
        <v>950</v>
      </c>
      <c r="G9" s="40">
        <v>0</v>
      </c>
      <c r="H9" s="40">
        <v>855</v>
      </c>
      <c r="I9" s="40">
        <v>690</v>
      </c>
    </row>
    <row r="10" spans="1:14" x14ac:dyDescent="0.2">
      <c r="A10" s="39" t="s">
        <v>16</v>
      </c>
      <c r="B10" s="40">
        <v>710</v>
      </c>
      <c r="C10" s="40">
        <v>1080</v>
      </c>
      <c r="D10" s="40">
        <v>380</v>
      </c>
      <c r="E10" s="40">
        <v>64</v>
      </c>
      <c r="F10" s="40">
        <v>150</v>
      </c>
      <c r="G10" s="40">
        <v>855</v>
      </c>
      <c r="H10" s="40">
        <v>0</v>
      </c>
      <c r="I10" s="40">
        <v>470</v>
      </c>
    </row>
    <row r="11" spans="1:14" x14ac:dyDescent="0.2">
      <c r="A11" s="39" t="s">
        <v>15</v>
      </c>
      <c r="B11" s="40">
        <v>250</v>
      </c>
      <c r="C11" s="40">
        <v>910</v>
      </c>
      <c r="D11" s="40">
        <v>540</v>
      </c>
      <c r="E11" s="40">
        <v>408</v>
      </c>
      <c r="F11" s="40">
        <v>565</v>
      </c>
      <c r="G11" s="40">
        <v>690</v>
      </c>
      <c r="H11" s="40">
        <v>470</v>
      </c>
      <c r="I11" s="40">
        <v>0</v>
      </c>
    </row>
    <row r="12" spans="1:14" x14ac:dyDescent="0.2">
      <c r="A12" s="41"/>
      <c r="B12" s="41"/>
      <c r="C12" s="41"/>
      <c r="D12" s="41"/>
      <c r="E12" s="41"/>
      <c r="F12" s="41"/>
      <c r="G12" s="41"/>
      <c r="H12" s="41"/>
      <c r="I12" s="41"/>
    </row>
    <row r="14" spans="1:14" ht="20.25" x14ac:dyDescent="0.3">
      <c r="A14" s="66" t="s">
        <v>20</v>
      </c>
      <c r="B14" s="66"/>
      <c r="C14" s="66"/>
      <c r="D14" s="66"/>
      <c r="E14" s="66"/>
      <c r="F14" s="66"/>
      <c r="G14" s="66"/>
      <c r="H14" s="66"/>
      <c r="I14" s="66"/>
    </row>
    <row r="15" spans="1:14" ht="15.75" x14ac:dyDescent="0.25">
      <c r="A15" s="37"/>
      <c r="B15" s="38" t="s">
        <v>18</v>
      </c>
      <c r="C15" s="38" t="s">
        <v>17</v>
      </c>
      <c r="D15" s="38" t="s">
        <v>2</v>
      </c>
      <c r="E15" s="38" t="s">
        <v>11</v>
      </c>
      <c r="F15" s="38" t="s">
        <v>13</v>
      </c>
      <c r="G15" s="38" t="s">
        <v>5</v>
      </c>
      <c r="H15" s="38" t="s">
        <v>16</v>
      </c>
      <c r="I15" s="38" t="s">
        <v>15</v>
      </c>
    </row>
    <row r="16" spans="1:14" x14ac:dyDescent="0.2">
      <c r="A16" s="39" t="s">
        <v>18</v>
      </c>
      <c r="B16" s="42">
        <f>B4/10000</f>
        <v>0</v>
      </c>
      <c r="C16" s="42">
        <f t="shared" ref="C16:I16" si="0">C4/10000</f>
        <v>8.0500000000000002E-2</v>
      </c>
      <c r="D16" s="42">
        <f t="shared" si="0"/>
        <v>5.6500000000000002E-2</v>
      </c>
      <c r="E16" s="42">
        <f t="shared" si="0"/>
        <v>6.5000000000000002E-2</v>
      </c>
      <c r="F16" s="42">
        <f t="shared" si="0"/>
        <v>8.0699999999999994E-2</v>
      </c>
      <c r="G16" s="42">
        <f t="shared" si="0"/>
        <v>5.8500000000000003E-2</v>
      </c>
      <c r="H16" s="42">
        <f t="shared" si="0"/>
        <v>7.0999999999999994E-2</v>
      </c>
      <c r="I16" s="42">
        <f t="shared" si="0"/>
        <v>2.5000000000000001E-2</v>
      </c>
    </row>
    <row r="17" spans="1:9" x14ac:dyDescent="0.2">
      <c r="A17" s="39" t="s">
        <v>17</v>
      </c>
      <c r="B17" s="42">
        <f t="shared" ref="B17:I23" si="1">B5/10000</f>
        <v>8.0500000000000002E-2</v>
      </c>
      <c r="C17" s="42">
        <f t="shared" si="1"/>
        <v>0</v>
      </c>
      <c r="D17" s="42">
        <f t="shared" si="1"/>
        <v>6.9500000000000006E-2</v>
      </c>
      <c r="E17" s="42">
        <f t="shared" si="1"/>
        <v>0.10199999999999999</v>
      </c>
      <c r="F17" s="42">
        <f t="shared" si="1"/>
        <v>0.11799999999999999</v>
      </c>
      <c r="G17" s="42">
        <f t="shared" si="1"/>
        <v>2.1999999999999999E-2</v>
      </c>
      <c r="H17" s="42">
        <f t="shared" si="1"/>
        <v>0.108</v>
      </c>
      <c r="I17" s="42">
        <f t="shared" si="1"/>
        <v>9.0999999999999998E-2</v>
      </c>
    </row>
    <row r="18" spans="1:9" x14ac:dyDescent="0.2">
      <c r="A18" s="39" t="s">
        <v>2</v>
      </c>
      <c r="B18" s="42">
        <f t="shared" si="1"/>
        <v>5.6500000000000002E-2</v>
      </c>
      <c r="C18" s="42">
        <f>C6/10000</f>
        <v>6.9500000000000006E-2</v>
      </c>
      <c r="D18" s="42">
        <f t="shared" si="1"/>
        <v>0</v>
      </c>
      <c r="E18" s="42">
        <f t="shared" si="1"/>
        <v>3.15E-2</v>
      </c>
      <c r="F18" s="42">
        <f t="shared" si="1"/>
        <v>4.7E-2</v>
      </c>
      <c r="G18" s="42">
        <f t="shared" si="1"/>
        <v>4.5999999999999999E-2</v>
      </c>
      <c r="H18" s="42">
        <f t="shared" si="1"/>
        <v>3.7999999999999999E-2</v>
      </c>
      <c r="I18" s="42">
        <f t="shared" si="1"/>
        <v>5.3999999999999999E-2</v>
      </c>
    </row>
    <row r="19" spans="1:9" x14ac:dyDescent="0.2">
      <c r="A19" s="39" t="s">
        <v>11</v>
      </c>
      <c r="B19" s="42">
        <f t="shared" si="1"/>
        <v>6.5000000000000002E-2</v>
      </c>
      <c r="C19" s="42">
        <f t="shared" si="1"/>
        <v>0.10199999999999999</v>
      </c>
      <c r="D19" s="42">
        <f t="shared" si="1"/>
        <v>3.15E-2</v>
      </c>
      <c r="E19" s="42">
        <f t="shared" si="1"/>
        <v>0</v>
      </c>
      <c r="F19" s="42">
        <f t="shared" si="1"/>
        <v>2.07E-2</v>
      </c>
      <c r="G19" s="42">
        <f t="shared" si="1"/>
        <v>7.9500000000000001E-2</v>
      </c>
      <c r="H19" s="42">
        <f t="shared" si="1"/>
        <v>6.4000000000000003E-3</v>
      </c>
      <c r="I19" s="42">
        <f t="shared" si="1"/>
        <v>4.0800000000000003E-2</v>
      </c>
    </row>
    <row r="20" spans="1:9" x14ac:dyDescent="0.2">
      <c r="A20" s="39" t="s">
        <v>13</v>
      </c>
      <c r="B20" s="42">
        <f t="shared" si="1"/>
        <v>8.0699999999999994E-2</v>
      </c>
      <c r="C20" s="42">
        <f t="shared" si="1"/>
        <v>0.11799999999999999</v>
      </c>
      <c r="D20" s="42">
        <f t="shared" si="1"/>
        <v>4.7E-2</v>
      </c>
      <c r="E20" s="42">
        <f t="shared" si="1"/>
        <v>2.07E-2</v>
      </c>
      <c r="F20" s="42">
        <f t="shared" si="1"/>
        <v>0</v>
      </c>
      <c r="G20" s="42">
        <f t="shared" si="1"/>
        <v>9.5000000000000001E-2</v>
      </c>
      <c r="H20" s="42">
        <f t="shared" si="1"/>
        <v>1.4999999999999999E-2</v>
      </c>
      <c r="I20" s="42">
        <f t="shared" si="1"/>
        <v>5.6500000000000002E-2</v>
      </c>
    </row>
    <row r="21" spans="1:9" x14ac:dyDescent="0.2">
      <c r="A21" s="39" t="s">
        <v>5</v>
      </c>
      <c r="B21" s="42">
        <f t="shared" si="1"/>
        <v>5.8500000000000003E-2</v>
      </c>
      <c r="C21" s="42">
        <f t="shared" si="1"/>
        <v>2.1999999999999999E-2</v>
      </c>
      <c r="D21" s="42">
        <f t="shared" si="1"/>
        <v>4.5999999999999999E-2</v>
      </c>
      <c r="E21" s="42">
        <f t="shared" si="1"/>
        <v>7.9500000000000001E-2</v>
      </c>
      <c r="F21" s="42">
        <f t="shared" si="1"/>
        <v>9.5000000000000001E-2</v>
      </c>
      <c r="G21" s="42">
        <f t="shared" si="1"/>
        <v>0</v>
      </c>
      <c r="H21" s="42">
        <f t="shared" si="1"/>
        <v>8.5500000000000007E-2</v>
      </c>
      <c r="I21" s="42">
        <f t="shared" si="1"/>
        <v>6.9000000000000006E-2</v>
      </c>
    </row>
    <row r="22" spans="1:9" x14ac:dyDescent="0.2">
      <c r="A22" s="39" t="s">
        <v>16</v>
      </c>
      <c r="B22" s="42">
        <f t="shared" si="1"/>
        <v>7.0999999999999994E-2</v>
      </c>
      <c r="C22" s="42">
        <f t="shared" si="1"/>
        <v>0.108</v>
      </c>
      <c r="D22" s="42">
        <f t="shared" si="1"/>
        <v>3.7999999999999999E-2</v>
      </c>
      <c r="E22" s="42">
        <f t="shared" si="1"/>
        <v>6.4000000000000003E-3</v>
      </c>
      <c r="F22" s="42">
        <f t="shared" si="1"/>
        <v>1.4999999999999999E-2</v>
      </c>
      <c r="G22" s="42">
        <f t="shared" si="1"/>
        <v>8.5500000000000007E-2</v>
      </c>
      <c r="H22" s="42">
        <f t="shared" si="1"/>
        <v>0</v>
      </c>
      <c r="I22" s="42">
        <f t="shared" si="1"/>
        <v>4.7E-2</v>
      </c>
    </row>
    <row r="23" spans="1:9" x14ac:dyDescent="0.2">
      <c r="A23" s="39" t="s">
        <v>15</v>
      </c>
      <c r="B23" s="42">
        <f t="shared" si="1"/>
        <v>2.5000000000000001E-2</v>
      </c>
      <c r="C23" s="42">
        <f t="shared" si="1"/>
        <v>9.0999999999999998E-2</v>
      </c>
      <c r="D23" s="42">
        <f t="shared" si="1"/>
        <v>5.3999999999999999E-2</v>
      </c>
      <c r="E23" s="42">
        <f t="shared" si="1"/>
        <v>4.0800000000000003E-2</v>
      </c>
      <c r="F23" s="42">
        <f t="shared" si="1"/>
        <v>5.6500000000000002E-2</v>
      </c>
      <c r="G23" s="42">
        <f t="shared" si="1"/>
        <v>6.9000000000000006E-2</v>
      </c>
      <c r="H23" s="42">
        <f t="shared" si="1"/>
        <v>4.7E-2</v>
      </c>
      <c r="I23" s="42">
        <f t="shared" si="1"/>
        <v>0</v>
      </c>
    </row>
  </sheetData>
  <mergeCells count="2">
    <mergeCell ref="A1:I1"/>
    <mergeCell ref="A14:I14"/>
  </mergeCells>
  <phoneticPr fontId="1" type="noConversion"/>
  <printOptions horizontalCentered="1" verticalCentered="1"/>
  <pageMargins left="0.55118110236220474" right="0.78740157480314965" top="0.98425196850393704" bottom="0.98425196850393704" header="0.51181102362204722" footer="0.51181102362204722"/>
  <pageSetup paperSize="9" scale="89" orientation="landscape" horizontalDpi="300" verticalDpi="4294967292" r:id="rId1"/>
  <headerFooter alignWithMargins="0">
    <oddHeader>&amp;L&amp;"Helv,Gras"&amp;16&amp;F
_____________</oddHeader>
    <oddFooter>&amp;R&amp;8_________________
&amp;F
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Accueil</vt:lpstr>
      <vt:lpstr>Exercice4</vt:lpstr>
      <vt:lpstr>Data</vt:lpstr>
      <vt:lpstr>destinations</vt:lpstr>
      <vt:lpstr>liste_arrivees</vt:lpstr>
      <vt:lpstr>liste_depart</vt:lpstr>
      <vt:lpstr>Data!Print_Area</vt:lpstr>
      <vt:lpstr>villes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Hello</cp:lastModifiedBy>
  <dcterms:created xsi:type="dcterms:W3CDTF">2021-01-16T12:52:31Z</dcterms:created>
  <dcterms:modified xsi:type="dcterms:W3CDTF">2022-12-06T18:54:33Z</dcterms:modified>
</cp:coreProperties>
</file>